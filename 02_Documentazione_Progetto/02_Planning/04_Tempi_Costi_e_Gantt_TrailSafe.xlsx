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jmi\Downloads\"/>
    </mc:Choice>
  </mc:AlternateContent>
  <xr:revisionPtr revIDLastSave="0" documentId="13_ncr:1_{F3B874CD-A883-49EC-A211-C159A78D8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epilogo" sheetId="1" r:id="rId1"/>
    <sheet name="Pianificazione" sheetId="2" r:id="rId2"/>
    <sheet name="Co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B14" i="3"/>
  <c r="J23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H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H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H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H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H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H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H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H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H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H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H11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H10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H9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H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H7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H6" i="2"/>
  <c r="B15" i="3" l="1"/>
  <c r="B16" i="3" s="1"/>
  <c r="B18" i="3" l="1"/>
</calcChain>
</file>

<file path=xl/sharedStrings.xml><?xml version="1.0" encoding="utf-8"?>
<sst xmlns="http://schemas.openxmlformats.org/spreadsheetml/2006/main" count="141" uniqueCount="99">
  <si>
    <t>TrailSafe – Tempi, costi e Gantt</t>
  </si>
  <si>
    <t>Voce</t>
  </si>
  <si>
    <t>Valore</t>
  </si>
  <si>
    <t>Stato sintetico</t>
  </si>
  <si>
    <t>Data di avvio</t>
  </si>
  <si>
    <t>Numero attività</t>
  </si>
  <si>
    <t>Data di fine prevista</t>
  </si>
  <si>
    <t>Milestone</t>
  </si>
  <si>
    <t>Durata prevista</t>
  </si>
  <si>
    <t>Circa 5 mesi</t>
  </si>
  <si>
    <t>Budget stimato</t>
  </si>
  <si>
    <t>Budget massimo</t>
  </si>
  <si>
    <t>Margine sul budget</t>
  </si>
  <si>
    <t>Approccio</t>
  </si>
  <si>
    <t>Ibrido</t>
  </si>
  <si>
    <t>Pianificazione attività e Gantt – TrailSafe</t>
  </si>
  <si>
    <t>ID</t>
  </si>
  <si>
    <t>Fase</t>
  </si>
  <si>
    <t>Attività</t>
  </si>
  <si>
    <t>Responsabile</t>
  </si>
  <si>
    <t>Dipendenze</t>
  </si>
  <si>
    <t>Inizio</t>
  </si>
  <si>
    <t>Fine</t>
  </si>
  <si>
    <t>Giorni</t>
  </si>
  <si>
    <t>Costo stimato</t>
  </si>
  <si>
    <t>Gestione</t>
  </si>
  <si>
    <t>Gestione e controllo del progetto</t>
  </si>
  <si>
    <t>Project Manager</t>
  </si>
  <si>
    <t>-</t>
  </si>
  <si>
    <t>No</t>
  </si>
  <si>
    <t>Avvio</t>
  </si>
  <si>
    <t>Kick-off e avvio formale</t>
  </si>
  <si>
    <t>Sì</t>
  </si>
  <si>
    <t>Analisi</t>
  </si>
  <si>
    <t>Raccolta dei requisiti</t>
  </si>
  <si>
    <t>Business Analyst</t>
  </si>
  <si>
    <t>2</t>
  </si>
  <si>
    <t>Validazione dei requisiti</t>
  </si>
  <si>
    <t>PM / Committente</t>
  </si>
  <si>
    <t>3</t>
  </si>
  <si>
    <t>Progettazione</t>
  </si>
  <si>
    <t>Progettazione UX/UI</t>
  </si>
  <si>
    <t>UX/UI Designer</t>
  </si>
  <si>
    <t>4</t>
  </si>
  <si>
    <t>Progettazione tecnica e database</t>
  </si>
  <si>
    <t>Backend Developer</t>
  </si>
  <si>
    <t>Sviluppo</t>
  </si>
  <si>
    <t>Sviluppo area utenti</t>
  </si>
  <si>
    <t>Frontend / Backend</t>
  </si>
  <si>
    <t>5, 6</t>
  </si>
  <si>
    <t>Sviluppo mappa e gestione sentieri</t>
  </si>
  <si>
    <t>Integrazione servizio meteo</t>
  </si>
  <si>
    <t>8</t>
  </si>
  <si>
    <t>Sviluppo segnalazioni</t>
  </si>
  <si>
    <t>7, 8</t>
  </si>
  <si>
    <t>Sviluppo area amministrativa</t>
  </si>
  <si>
    <t>8, 10</t>
  </si>
  <si>
    <t>Test</t>
  </si>
  <si>
    <t>Test di integrazione</t>
  </si>
  <si>
    <t>Tester</t>
  </si>
  <si>
    <t>9, 11</t>
  </si>
  <si>
    <t>Test con utenti pilota</t>
  </si>
  <si>
    <t>Tester / Analyst</t>
  </si>
  <si>
    <t>12</t>
  </si>
  <si>
    <t>Correzioni finali</t>
  </si>
  <si>
    <t>Team sviluppo</t>
  </si>
  <si>
    <t>13</t>
  </si>
  <si>
    <t>Rilascio</t>
  </si>
  <si>
    <t>Rilascio pilota e formazione</t>
  </si>
  <si>
    <t>PM / Team</t>
  </si>
  <si>
    <t>14</t>
  </si>
  <si>
    <t>Chiusura</t>
  </si>
  <si>
    <t>Accettazione e chiusura</t>
  </si>
  <si>
    <t>15</t>
  </si>
  <si>
    <t>Piano dei costi – TrailSafe</t>
  </si>
  <si>
    <t>Voce di costo</t>
  </si>
  <si>
    <t>Tipo</t>
  </si>
  <si>
    <t>Nota</t>
  </si>
  <si>
    <t>Gestione del progetto</t>
  </si>
  <si>
    <t>Personale</t>
  </si>
  <si>
    <t>Analisi dei requisiti</t>
  </si>
  <si>
    <t>Analisi e validazione</t>
  </si>
  <si>
    <t>Prototipo e interfaccia</t>
  </si>
  <si>
    <t>Sviluppo frontend</t>
  </si>
  <si>
    <t>Interfaccia web</t>
  </si>
  <si>
    <t>Sviluppo backend</t>
  </si>
  <si>
    <t>API, database e integrazioni</t>
  </si>
  <si>
    <t>Test e qualità</t>
  </si>
  <si>
    <t>Test tecnici e con utenti</t>
  </si>
  <si>
    <t>Servizi mappe, meteo e cloud</t>
  </si>
  <si>
    <t>Servizi</t>
  </si>
  <si>
    <t>API e infrastruttura</t>
  </si>
  <si>
    <t>Formazione e documentazione</t>
  </si>
  <si>
    <t>Manuale e formazione</t>
  </si>
  <si>
    <t>Subtotale</t>
  </si>
  <si>
    <t>Riserva rischi (10%)</t>
  </si>
  <si>
    <t>Totale stimato</t>
  </si>
  <si>
    <t>Margine disponibile</t>
  </si>
  <si>
    <t>Totale costi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</si>
</sst>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"/>
    <numFmt numFmtId="165" formatCode="dd\ mmm"/>
  </numFmts>
  <fonts count="13">
    <font>
      <sz val="11"/>
      <name val="Carlito"/>
    </font>
    <font>
      <b/>
      <sz val="16"/>
      <color rgb="FFFFFFFF"/>
      <name val="Calibri"/>
    </font>
    <font>
      <sz val="11"/>
      <name val="Calibri"/>
    </font>
    <font>
      <b/>
      <sz val="11"/>
      <name val="Calibri"/>
    </font>
    <font>
      <b/>
      <sz val="15"/>
      <color rgb="FFFFFFFF"/>
      <name val="Carlito"/>
    </font>
    <font>
      <b/>
      <sz val="15"/>
      <color rgb="FFFFFFFF"/>
      <name val="Calibri"/>
    </font>
    <font>
      <b/>
      <sz val="9"/>
      <name val="Calibri"/>
    </font>
    <font>
      <b/>
      <sz val="11"/>
      <color rgb="FF1F4E78"/>
      <name val="Calibri"/>
    </font>
    <font>
      <sz val="11"/>
      <name val="Carlito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A9C28F"/>
      </left>
      <right/>
      <top style="thin">
        <color rgb="FFA9C28F"/>
      </top>
      <bottom style="thin">
        <color rgb="FFA9C28F"/>
      </bottom>
      <diagonal/>
    </border>
    <border>
      <left/>
      <right style="thin">
        <color rgb="FFA9C28F"/>
      </right>
      <top style="thin">
        <color rgb="FFA9C28F"/>
      </top>
      <bottom style="thin">
        <color rgb="FFA9C28F"/>
      </bottom>
      <diagonal/>
    </border>
    <border>
      <left style="thin">
        <color rgb="FFA9C28F"/>
      </left>
      <right/>
      <top style="thin">
        <color rgb="FFA9C28F"/>
      </top>
      <bottom/>
      <diagonal/>
    </border>
    <border>
      <left/>
      <right style="thin">
        <color rgb="FFA9C28F"/>
      </right>
      <top style="thin">
        <color rgb="FFA9C28F"/>
      </top>
      <bottom/>
      <diagonal/>
    </border>
    <border>
      <left style="thin">
        <color rgb="FFA9C28F"/>
      </left>
      <right/>
      <top/>
      <bottom/>
      <diagonal/>
    </border>
    <border>
      <left/>
      <right style="thin">
        <color rgb="FFA9C28F"/>
      </right>
      <top/>
      <bottom/>
      <diagonal/>
    </border>
    <border>
      <left style="thin">
        <color rgb="FFA9C28F"/>
      </left>
      <right/>
      <top/>
      <bottom style="thin">
        <color rgb="FFA9C28F"/>
      </bottom>
      <diagonal/>
    </border>
    <border>
      <left/>
      <right style="thin">
        <color rgb="FFA9C28F"/>
      </right>
      <top/>
      <bottom style="thin">
        <color rgb="FFA9C28F"/>
      </bottom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2" fillId="0" borderId="0" xfId="1" applyFont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165" fontId="6" fillId="3" borderId="0" xfId="1" applyNumberFormat="1" applyFont="1" applyFill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vertical="center" wrapText="1"/>
    </xf>
    <xf numFmtId="164" fontId="2" fillId="0" borderId="12" xfId="1" applyNumberFormat="1" applyFont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14" fontId="2" fillId="0" borderId="14" xfId="1" applyNumberFormat="1" applyFont="1" applyBorder="1" applyAlignment="1">
      <alignment vertical="center" wrapText="1"/>
    </xf>
    <xf numFmtId="164" fontId="2" fillId="0" borderId="15" xfId="1" applyNumberFormat="1" applyFont="1" applyBorder="1" applyAlignment="1">
      <alignment vertical="center" wrapText="1"/>
    </xf>
    <xf numFmtId="0" fontId="3" fillId="4" borderId="16" xfId="1" applyFont="1" applyFill="1" applyBorder="1"/>
    <xf numFmtId="164" fontId="3" fillId="4" borderId="17" xfId="1" applyNumberFormat="1" applyFont="1" applyFill="1" applyBorder="1"/>
    <xf numFmtId="0" fontId="3" fillId="3" borderId="8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2" fillId="0" borderId="11" xfId="1" applyFont="1" applyBorder="1" applyAlignment="1">
      <alignment wrapText="1"/>
    </xf>
    <xf numFmtId="164" fontId="2" fillId="0" borderId="0" xfId="1" applyNumberFormat="1" applyFont="1" applyAlignment="1">
      <alignment wrapText="1"/>
    </xf>
    <xf numFmtId="0" fontId="2" fillId="0" borderId="0" xfId="1" applyFont="1" applyAlignment="1">
      <alignment wrapText="1"/>
    </xf>
    <xf numFmtId="0" fontId="2" fillId="0" borderId="12" xfId="1" applyFont="1" applyBorder="1" applyAlignment="1">
      <alignment wrapText="1"/>
    </xf>
    <xf numFmtId="0" fontId="2" fillId="0" borderId="13" xfId="1" applyFont="1" applyBorder="1" applyAlignment="1">
      <alignment wrapText="1"/>
    </xf>
    <xf numFmtId="164" fontId="2" fillId="0" borderId="14" xfId="1" applyNumberFormat="1" applyFont="1" applyBorder="1" applyAlignment="1">
      <alignment wrapText="1"/>
    </xf>
    <xf numFmtId="0" fontId="2" fillId="0" borderId="14" xfId="1" applyFont="1" applyBorder="1" applyAlignment="1">
      <alignment wrapText="1"/>
    </xf>
    <xf numFmtId="0" fontId="2" fillId="0" borderId="15" xfId="1" applyFont="1" applyBorder="1" applyAlignment="1">
      <alignment wrapText="1"/>
    </xf>
    <xf numFmtId="0" fontId="3" fillId="4" borderId="18" xfId="1" applyFont="1" applyFill="1" applyBorder="1"/>
    <xf numFmtId="164" fontId="3" fillId="4" borderId="19" xfId="1" applyNumberFormat="1" applyFont="1" applyFill="1" applyBorder="1"/>
    <xf numFmtId="0" fontId="3" fillId="4" borderId="20" xfId="1" applyFont="1" applyFill="1" applyBorder="1"/>
    <xf numFmtId="164" fontId="3" fillId="4" borderId="21" xfId="1" applyNumberFormat="1" applyFont="1" applyFill="1" applyBorder="1"/>
    <xf numFmtId="0" fontId="3" fillId="4" borderId="22" xfId="1" applyFont="1" applyFill="1" applyBorder="1"/>
    <xf numFmtId="164" fontId="3" fillId="4" borderId="23" xfId="1" applyNumberFormat="1" applyFont="1" applyFill="1" applyBorder="1"/>
    <xf numFmtId="0" fontId="1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4" fontId="9" fillId="0" borderId="5" xfId="1" applyNumberFormat="1" applyFont="1" applyBorder="1"/>
    <xf numFmtId="0" fontId="9" fillId="0" borderId="5" xfId="1" applyFont="1" applyBorder="1"/>
    <xf numFmtId="0" fontId="9" fillId="0" borderId="3" xfId="1" applyFont="1" applyBorder="1"/>
    <xf numFmtId="164" fontId="10" fillId="0" borderId="7" xfId="1" applyNumberFormat="1" applyFont="1" applyBorder="1"/>
    <xf numFmtId="14" fontId="9" fillId="0" borderId="5" xfId="1" applyNumberFormat="1" applyFont="1" applyBorder="1"/>
    <xf numFmtId="0" fontId="11" fillId="3" borderId="3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9" fillId="4" borderId="16" xfId="1" applyFont="1" applyFill="1" applyBorder="1"/>
    <xf numFmtId="0" fontId="5" fillId="2" borderId="0" xfId="1" applyFont="1" applyFill="1" applyAlignment="1">
      <alignment horizontal="right" vertical="center"/>
    </xf>
    <xf numFmtId="0" fontId="12" fillId="0" borderId="2" xfId="1" applyFont="1" applyBorder="1"/>
  </cellXfs>
  <cellStyles count="2">
    <cellStyle name="Normal" xfId="1" xr:uid="{00000000-0005-0000-0000-000000000000}"/>
    <cellStyle name="Normale" xfId="0" builtinId="0"/>
  </cellStyles>
  <dxfs count="2">
    <dxf>
      <font>
        <b/>
        <color rgb="FF1F4E78"/>
      </font>
      <fill>
        <patternFill patternType="solid">
          <bgColor rgb="FF8FBB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Distribuzione dei costi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stimato</c:v>
          </c:tx>
          <c:invertIfNegative val="1"/>
          <c:cat>
            <c:strRef>
              <c:f>Costi!$A$5:$A$12</c:f>
              <c:strCache>
                <c:ptCount val="8"/>
                <c:pt idx="0">
                  <c:v>Gestione del progetto</c:v>
                </c:pt>
                <c:pt idx="1">
                  <c:v>Analisi dei requisiti</c:v>
                </c:pt>
                <c:pt idx="2">
                  <c:v>Progettazione UX/UI</c:v>
                </c:pt>
                <c:pt idx="3">
                  <c:v>Sviluppo frontend</c:v>
                </c:pt>
                <c:pt idx="4">
                  <c:v>Sviluppo backend</c:v>
                </c:pt>
                <c:pt idx="5">
                  <c:v>Test e qualità</c:v>
                </c:pt>
                <c:pt idx="6">
                  <c:v>Servizi mappe, meteo e cloud</c:v>
                </c:pt>
                <c:pt idx="7">
                  <c:v>Formazione e documentazione</c:v>
                </c:pt>
              </c:strCache>
            </c:strRef>
          </c:cat>
          <c:val>
            <c:numRef>
              <c:f>Costi!$B$5:$B$12</c:f>
              <c:numCache>
                <c:formatCode>\€\ #,##0</c:formatCode>
                <c:ptCount val="8"/>
                <c:pt idx="0">
                  <c:v>9000</c:v>
                </c:pt>
                <c:pt idx="1">
                  <c:v>5000</c:v>
                </c:pt>
                <c:pt idx="2">
                  <c:v>4900</c:v>
                </c:pt>
                <c:pt idx="3">
                  <c:v>14000</c:v>
                </c:pt>
                <c:pt idx="4">
                  <c:v>17400</c:v>
                </c:pt>
                <c:pt idx="5">
                  <c:v>6100</c:v>
                </c:pt>
                <c:pt idx="6">
                  <c:v>3200</c:v>
                </c:pt>
                <c:pt idx="7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0-427B-AD4B-8B9B20964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139211</xdr:colOff>
      <xdr:row>2</xdr:row>
      <xdr:rowOff>102576</xdr:rowOff>
    </xdr:from>
    <xdr:to>
      <xdr:col>13</xdr:col>
      <xdr:colOff>498231</xdr:colOff>
      <xdr:row>25</xdr:row>
      <xdr:rowOff>14653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3" sqref="D3:F3"/>
    </sheetView>
  </sheetViews>
  <sheetFormatPr defaultRowHeight="13.8"/>
  <cols>
    <col min="1" max="1" width="24" customWidth="1"/>
    <col min="2" max="2" width="22" customWidth="1"/>
    <col min="3" max="3" width="4" customWidth="1"/>
    <col min="4" max="4" width="22" customWidth="1"/>
    <col min="5" max="5" width="18" customWidth="1"/>
    <col min="6" max="6" width="12" customWidth="1"/>
  </cols>
  <sheetData>
    <row r="1" spans="1:6" ht="22.35" customHeight="1">
      <c r="A1" s="38" t="s">
        <v>0</v>
      </c>
      <c r="B1" s="38"/>
      <c r="C1" s="38"/>
      <c r="D1" s="38"/>
      <c r="E1" s="38"/>
      <c r="F1" s="38"/>
    </row>
    <row r="2" spans="1:6" ht="14.4">
      <c r="A2" s="1"/>
      <c r="B2" s="1"/>
      <c r="C2" s="1"/>
      <c r="D2" s="1"/>
      <c r="E2" s="1"/>
      <c r="F2" s="1"/>
    </row>
    <row r="3" spans="1:6" ht="18">
      <c r="A3" s="47" t="s">
        <v>1</v>
      </c>
      <c r="B3" s="46" t="s">
        <v>2</v>
      </c>
      <c r="C3" s="1"/>
      <c r="D3" s="48" t="s">
        <v>3</v>
      </c>
      <c r="E3" s="48"/>
      <c r="F3" s="48"/>
    </row>
    <row r="4" spans="1:6" ht="14.4">
      <c r="A4" s="2" t="s">
        <v>4</v>
      </c>
      <c r="B4" s="45">
        <v>46272</v>
      </c>
      <c r="C4" s="1"/>
      <c r="D4" s="51" t="s">
        <v>5</v>
      </c>
      <c r="E4" s="43">
        <v>16</v>
      </c>
      <c r="F4" s="1"/>
    </row>
    <row r="5" spans="1:6" ht="14.4">
      <c r="A5" s="2" t="s">
        <v>6</v>
      </c>
      <c r="B5" s="45">
        <v>46416</v>
      </c>
      <c r="C5" s="1"/>
      <c r="D5" s="2" t="s">
        <v>7</v>
      </c>
      <c r="E5" s="42">
        <v>5</v>
      </c>
      <c r="F5" s="1"/>
    </row>
    <row r="6" spans="1:6" ht="14.4">
      <c r="A6" s="2" t="s">
        <v>8</v>
      </c>
      <c r="B6" s="3" t="s">
        <v>9</v>
      </c>
      <c r="C6" s="1"/>
      <c r="D6" s="2" t="s">
        <v>10</v>
      </c>
      <c r="E6" s="41">
        <f>Costi!B16</f>
        <v>67980</v>
      </c>
      <c r="F6" s="1"/>
    </row>
    <row r="7" spans="1:6" ht="14.4">
      <c r="A7" s="2" t="s">
        <v>11</v>
      </c>
      <c r="B7" s="41">
        <v>75000</v>
      </c>
      <c r="C7" s="1"/>
      <c r="D7" s="4" t="s">
        <v>12</v>
      </c>
      <c r="E7" s="44">
        <f>B7-E6</f>
        <v>7020</v>
      </c>
      <c r="F7" s="1"/>
    </row>
    <row r="8" spans="1:6" ht="14.4">
      <c r="A8" s="4" t="s">
        <v>13</v>
      </c>
      <c r="B8" s="5" t="s">
        <v>14</v>
      </c>
      <c r="C8" s="1"/>
      <c r="D8" s="1"/>
      <c r="E8" s="1"/>
      <c r="F8" s="1"/>
    </row>
    <row r="9" spans="1:6" ht="14.4">
      <c r="A9" s="1"/>
      <c r="B9" s="1"/>
      <c r="C9" s="1"/>
      <c r="D9" s="1"/>
      <c r="E9" s="1"/>
      <c r="F9" s="1"/>
    </row>
  </sheetData>
  <mergeCells count="2">
    <mergeCell ref="A1:F1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3"/>
  <sheetViews>
    <sheetView workbookViewId="0">
      <selection activeCell="K7" sqref="K7"/>
    </sheetView>
  </sheetViews>
  <sheetFormatPr defaultRowHeight="13.8"/>
  <cols>
    <col min="1" max="1" width="6" customWidth="1"/>
    <col min="2" max="2" width="14" customWidth="1"/>
    <col min="3" max="3" width="34" customWidth="1"/>
    <col min="4" max="4" width="22" customWidth="1"/>
    <col min="5" max="7" width="12" customWidth="1"/>
    <col min="8" max="8" width="9" customWidth="1"/>
    <col min="9" max="9" width="10" customWidth="1"/>
    <col min="10" max="10" width="14" customWidth="1"/>
    <col min="11" max="31" width="9" customWidth="1"/>
  </cols>
  <sheetData>
    <row r="1" spans="1:35" ht="20.85" customHeight="1">
      <c r="A1" s="39" t="s">
        <v>15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40"/>
      <c r="AG1" s="40"/>
      <c r="AH1" s="40"/>
      <c r="AI1" s="40"/>
    </row>
    <row r="2" spans="1:3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5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5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5" ht="14.4">
      <c r="A5" s="6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7</v>
      </c>
      <c r="J5" s="8" t="s">
        <v>24</v>
      </c>
      <c r="K5" s="9">
        <v>46272</v>
      </c>
      <c r="L5" s="9">
        <v>46279</v>
      </c>
      <c r="M5" s="9">
        <v>46286</v>
      </c>
      <c r="N5" s="9">
        <v>46293</v>
      </c>
      <c r="O5" s="9">
        <v>46300</v>
      </c>
      <c r="P5" s="9">
        <v>46307</v>
      </c>
      <c r="Q5" s="9">
        <v>46314</v>
      </c>
      <c r="R5" s="9">
        <v>46321</v>
      </c>
      <c r="S5" s="9">
        <v>46328</v>
      </c>
      <c r="T5" s="9">
        <v>46335</v>
      </c>
      <c r="U5" s="9">
        <v>46342</v>
      </c>
      <c r="V5" s="9">
        <v>46349</v>
      </c>
      <c r="W5" s="9">
        <v>46356</v>
      </c>
      <c r="X5" s="9">
        <v>46363</v>
      </c>
      <c r="Y5" s="9">
        <v>46370</v>
      </c>
      <c r="Z5" s="9">
        <v>46377</v>
      </c>
      <c r="AA5" s="9">
        <v>46384</v>
      </c>
      <c r="AB5" s="9">
        <v>46391</v>
      </c>
      <c r="AC5" s="9">
        <v>46398</v>
      </c>
      <c r="AD5" s="9">
        <v>46405</v>
      </c>
      <c r="AE5" s="9">
        <v>46412</v>
      </c>
    </row>
    <row r="6" spans="1:35" ht="14.4">
      <c r="A6" s="10">
        <v>1</v>
      </c>
      <c r="B6" s="11" t="s">
        <v>25</v>
      </c>
      <c r="C6" s="11" t="s">
        <v>26</v>
      </c>
      <c r="D6" s="11" t="s">
        <v>27</v>
      </c>
      <c r="E6" s="11" t="s">
        <v>28</v>
      </c>
      <c r="F6" s="12">
        <v>46272</v>
      </c>
      <c r="G6" s="12">
        <v>46416</v>
      </c>
      <c r="H6" s="11">
        <f t="shared" ref="H6:H21" si="0">NETWORKDAYS(F6,G6)</f>
        <v>105</v>
      </c>
      <c r="I6" s="11" t="s">
        <v>29</v>
      </c>
      <c r="J6" s="13">
        <v>9000</v>
      </c>
      <c r="K6" s="14" t="str">
        <f t="shared" ref="K6:T15" si="1">IF(AND(K$5&lt;=$G6,K$5+6&gt;=$F6),"■","")</f>
        <v>■</v>
      </c>
      <c r="L6" s="14" t="str">
        <f t="shared" si="1"/>
        <v>■</v>
      </c>
      <c r="M6" s="14" t="str">
        <f t="shared" si="1"/>
        <v>■</v>
      </c>
      <c r="N6" s="14" t="str">
        <f t="shared" si="1"/>
        <v>■</v>
      </c>
      <c r="O6" s="14" t="str">
        <f t="shared" si="1"/>
        <v>■</v>
      </c>
      <c r="P6" s="14" t="str">
        <f t="shared" si="1"/>
        <v>■</v>
      </c>
      <c r="Q6" s="14" t="str">
        <f t="shared" si="1"/>
        <v>■</v>
      </c>
      <c r="R6" s="14" t="str">
        <f t="shared" si="1"/>
        <v>■</v>
      </c>
      <c r="S6" s="14" t="str">
        <f t="shared" si="1"/>
        <v>■</v>
      </c>
      <c r="T6" s="14" t="str">
        <f t="shared" si="1"/>
        <v>■</v>
      </c>
      <c r="U6" s="14" t="str">
        <f t="shared" ref="U6:AE15" si="2">IF(AND(U$5&lt;=$G6,U$5+6&gt;=$F6),"■","")</f>
        <v>■</v>
      </c>
      <c r="V6" s="14" t="str">
        <f t="shared" si="2"/>
        <v>■</v>
      </c>
      <c r="W6" s="14" t="str">
        <f t="shared" si="2"/>
        <v>■</v>
      </c>
      <c r="X6" s="14" t="str">
        <f t="shared" si="2"/>
        <v>■</v>
      </c>
      <c r="Y6" s="14" t="str">
        <f t="shared" si="2"/>
        <v>■</v>
      </c>
      <c r="Z6" s="14" t="str">
        <f t="shared" si="2"/>
        <v>■</v>
      </c>
      <c r="AA6" s="14" t="str">
        <f t="shared" si="2"/>
        <v>■</v>
      </c>
      <c r="AB6" s="14" t="str">
        <f t="shared" si="2"/>
        <v>■</v>
      </c>
      <c r="AC6" s="14" t="str">
        <f t="shared" si="2"/>
        <v>■</v>
      </c>
      <c r="AD6" s="14" t="str">
        <f t="shared" si="2"/>
        <v>■</v>
      </c>
      <c r="AE6" s="14" t="str">
        <f t="shared" si="2"/>
        <v>■</v>
      </c>
    </row>
    <row r="7" spans="1:35" ht="14.4">
      <c r="A7" s="10">
        <v>2</v>
      </c>
      <c r="B7" s="11" t="s">
        <v>30</v>
      </c>
      <c r="C7" s="11" t="s">
        <v>31</v>
      </c>
      <c r="D7" s="11" t="s">
        <v>27</v>
      </c>
      <c r="E7" s="11" t="s">
        <v>28</v>
      </c>
      <c r="F7" s="12">
        <v>46272</v>
      </c>
      <c r="G7" s="12">
        <v>46276</v>
      </c>
      <c r="H7" s="11">
        <f t="shared" si="0"/>
        <v>5</v>
      </c>
      <c r="I7" s="11" t="s">
        <v>32</v>
      </c>
      <c r="J7" s="13">
        <v>1200</v>
      </c>
      <c r="K7" s="14" t="str">
        <f t="shared" si="1"/>
        <v>■</v>
      </c>
      <c r="L7" s="14" t="str">
        <f t="shared" si="1"/>
        <v/>
      </c>
      <c r="M7" s="14" t="str">
        <f t="shared" si="1"/>
        <v/>
      </c>
      <c r="N7" s="14" t="str">
        <f t="shared" si="1"/>
        <v/>
      </c>
      <c r="O7" s="14" t="str">
        <f t="shared" si="1"/>
        <v/>
      </c>
      <c r="P7" s="14" t="str">
        <f t="shared" si="1"/>
        <v/>
      </c>
      <c r="Q7" s="14" t="str">
        <f t="shared" si="1"/>
        <v/>
      </c>
      <c r="R7" s="14" t="str">
        <f t="shared" si="1"/>
        <v/>
      </c>
      <c r="S7" s="14" t="str">
        <f t="shared" si="1"/>
        <v/>
      </c>
      <c r="T7" s="14" t="str">
        <f t="shared" si="1"/>
        <v/>
      </c>
      <c r="U7" s="14" t="str">
        <f t="shared" si="2"/>
        <v/>
      </c>
      <c r="V7" s="14" t="str">
        <f t="shared" si="2"/>
        <v/>
      </c>
      <c r="W7" s="14" t="str">
        <f t="shared" si="2"/>
        <v/>
      </c>
      <c r="X7" s="14" t="str">
        <f t="shared" si="2"/>
        <v/>
      </c>
      <c r="Y7" s="14" t="str">
        <f t="shared" si="2"/>
        <v/>
      </c>
      <c r="Z7" s="14" t="str">
        <f t="shared" si="2"/>
        <v/>
      </c>
      <c r="AA7" s="14" t="str">
        <f t="shared" si="2"/>
        <v/>
      </c>
      <c r="AB7" s="14" t="str">
        <f t="shared" si="2"/>
        <v/>
      </c>
      <c r="AC7" s="14" t="str">
        <f t="shared" si="2"/>
        <v/>
      </c>
      <c r="AD7" s="14" t="str">
        <f t="shared" si="2"/>
        <v/>
      </c>
      <c r="AE7" s="14" t="str">
        <f t="shared" si="2"/>
        <v/>
      </c>
    </row>
    <row r="8" spans="1:35" ht="14.4">
      <c r="A8" s="10">
        <v>3</v>
      </c>
      <c r="B8" s="11" t="s">
        <v>33</v>
      </c>
      <c r="C8" s="11" t="s">
        <v>34</v>
      </c>
      <c r="D8" s="11" t="s">
        <v>35</v>
      </c>
      <c r="E8" s="11" t="s">
        <v>36</v>
      </c>
      <c r="F8" s="12">
        <v>46279</v>
      </c>
      <c r="G8" s="12">
        <v>46290</v>
      </c>
      <c r="H8" s="11">
        <f t="shared" si="0"/>
        <v>10</v>
      </c>
      <c r="I8" s="11" t="s">
        <v>29</v>
      </c>
      <c r="J8" s="13">
        <v>3800</v>
      </c>
      <c r="K8" s="14" t="str">
        <f t="shared" si="1"/>
        <v/>
      </c>
      <c r="L8" s="14" t="str">
        <f t="shared" si="1"/>
        <v>■</v>
      </c>
      <c r="M8" s="14" t="str">
        <f t="shared" si="1"/>
        <v>■</v>
      </c>
      <c r="N8" s="14" t="str">
        <f t="shared" si="1"/>
        <v/>
      </c>
      <c r="O8" s="14" t="str">
        <f t="shared" si="1"/>
        <v/>
      </c>
      <c r="P8" s="14" t="str">
        <f t="shared" si="1"/>
        <v/>
      </c>
      <c r="Q8" s="14" t="str">
        <f t="shared" si="1"/>
        <v/>
      </c>
      <c r="R8" s="14" t="str">
        <f t="shared" si="1"/>
        <v/>
      </c>
      <c r="S8" s="14" t="str">
        <f t="shared" si="1"/>
        <v/>
      </c>
      <c r="T8" s="14" t="str">
        <f t="shared" si="1"/>
        <v/>
      </c>
      <c r="U8" s="14" t="str">
        <f t="shared" si="2"/>
        <v/>
      </c>
      <c r="V8" s="14" t="str">
        <f t="shared" si="2"/>
        <v/>
      </c>
      <c r="W8" s="14" t="str">
        <f t="shared" si="2"/>
        <v/>
      </c>
      <c r="X8" s="14" t="str">
        <f t="shared" si="2"/>
        <v/>
      </c>
      <c r="Y8" s="14" t="str">
        <f t="shared" si="2"/>
        <v/>
      </c>
      <c r="Z8" s="14" t="str">
        <f t="shared" si="2"/>
        <v/>
      </c>
      <c r="AA8" s="14" t="str">
        <f t="shared" si="2"/>
        <v/>
      </c>
      <c r="AB8" s="14" t="str">
        <f t="shared" si="2"/>
        <v/>
      </c>
      <c r="AC8" s="14" t="str">
        <f t="shared" si="2"/>
        <v/>
      </c>
      <c r="AD8" s="14" t="str">
        <f t="shared" si="2"/>
        <v/>
      </c>
      <c r="AE8" s="14" t="str">
        <f t="shared" si="2"/>
        <v/>
      </c>
    </row>
    <row r="9" spans="1:35" ht="14.4">
      <c r="A9" s="10">
        <v>4</v>
      </c>
      <c r="B9" s="11" t="s">
        <v>33</v>
      </c>
      <c r="C9" s="11" t="s">
        <v>37</v>
      </c>
      <c r="D9" s="11" t="s">
        <v>38</v>
      </c>
      <c r="E9" s="11" t="s">
        <v>39</v>
      </c>
      <c r="F9" s="12">
        <v>46293</v>
      </c>
      <c r="G9" s="12">
        <v>46297</v>
      </c>
      <c r="H9" s="11">
        <f t="shared" si="0"/>
        <v>5</v>
      </c>
      <c r="I9" s="11" t="s">
        <v>32</v>
      </c>
      <c r="J9" s="13">
        <v>1500</v>
      </c>
      <c r="K9" s="14" t="str">
        <f t="shared" si="1"/>
        <v/>
      </c>
      <c r="L9" s="14" t="str">
        <f t="shared" si="1"/>
        <v/>
      </c>
      <c r="M9" s="14" t="str">
        <f t="shared" si="1"/>
        <v/>
      </c>
      <c r="N9" s="14" t="str">
        <f t="shared" si="1"/>
        <v>■</v>
      </c>
      <c r="O9" s="14" t="str">
        <f t="shared" si="1"/>
        <v/>
      </c>
      <c r="P9" s="14" t="str">
        <f t="shared" si="1"/>
        <v/>
      </c>
      <c r="Q9" s="14" t="str">
        <f t="shared" si="1"/>
        <v/>
      </c>
      <c r="R9" s="14" t="str">
        <f t="shared" si="1"/>
        <v/>
      </c>
      <c r="S9" s="14" t="str">
        <f t="shared" si="1"/>
        <v/>
      </c>
      <c r="T9" s="14" t="str">
        <f t="shared" si="1"/>
        <v/>
      </c>
      <c r="U9" s="14" t="str">
        <f t="shared" si="2"/>
        <v/>
      </c>
      <c r="V9" s="14" t="str">
        <f t="shared" si="2"/>
        <v/>
      </c>
      <c r="W9" s="14" t="str">
        <f t="shared" si="2"/>
        <v/>
      </c>
      <c r="X9" s="14" t="str">
        <f t="shared" si="2"/>
        <v/>
      </c>
      <c r="Y9" s="14" t="str">
        <f t="shared" si="2"/>
        <v/>
      </c>
      <c r="Z9" s="14" t="str">
        <f t="shared" si="2"/>
        <v/>
      </c>
      <c r="AA9" s="14" t="str">
        <f t="shared" si="2"/>
        <v/>
      </c>
      <c r="AB9" s="14" t="str">
        <f t="shared" si="2"/>
        <v/>
      </c>
      <c r="AC9" s="14" t="str">
        <f t="shared" si="2"/>
        <v/>
      </c>
      <c r="AD9" s="14" t="str">
        <f t="shared" si="2"/>
        <v/>
      </c>
      <c r="AE9" s="14" t="str">
        <f t="shared" si="2"/>
        <v/>
      </c>
    </row>
    <row r="10" spans="1:35" ht="14.4">
      <c r="A10" s="10">
        <v>5</v>
      </c>
      <c r="B10" s="11" t="s">
        <v>40</v>
      </c>
      <c r="C10" s="11" t="s">
        <v>41</v>
      </c>
      <c r="D10" s="11" t="s">
        <v>42</v>
      </c>
      <c r="E10" s="11" t="s">
        <v>43</v>
      </c>
      <c r="F10" s="12">
        <v>46300</v>
      </c>
      <c r="G10" s="12">
        <v>46311</v>
      </c>
      <c r="H10" s="11">
        <f t="shared" si="0"/>
        <v>10</v>
      </c>
      <c r="I10" s="11" t="s">
        <v>29</v>
      </c>
      <c r="J10" s="13">
        <v>4900</v>
      </c>
      <c r="K10" s="14" t="str">
        <f t="shared" si="1"/>
        <v/>
      </c>
      <c r="L10" s="14" t="str">
        <f t="shared" si="1"/>
        <v/>
      </c>
      <c r="M10" s="14" t="str">
        <f t="shared" si="1"/>
        <v/>
      </c>
      <c r="N10" s="14" t="str">
        <f t="shared" si="1"/>
        <v/>
      </c>
      <c r="O10" s="14" t="str">
        <f t="shared" si="1"/>
        <v>■</v>
      </c>
      <c r="P10" s="14" t="str">
        <f t="shared" si="1"/>
        <v>■</v>
      </c>
      <c r="Q10" s="14" t="str">
        <f t="shared" si="1"/>
        <v/>
      </c>
      <c r="R10" s="14" t="str">
        <f t="shared" si="1"/>
        <v/>
      </c>
      <c r="S10" s="14" t="str">
        <f t="shared" si="1"/>
        <v/>
      </c>
      <c r="T10" s="14" t="str">
        <f t="shared" si="1"/>
        <v/>
      </c>
      <c r="U10" s="14" t="str">
        <f t="shared" si="2"/>
        <v/>
      </c>
      <c r="V10" s="14" t="str">
        <f t="shared" si="2"/>
        <v/>
      </c>
      <c r="W10" s="14" t="str">
        <f t="shared" si="2"/>
        <v/>
      </c>
      <c r="X10" s="14" t="str">
        <f t="shared" si="2"/>
        <v/>
      </c>
      <c r="Y10" s="14" t="str">
        <f t="shared" si="2"/>
        <v/>
      </c>
      <c r="Z10" s="14" t="str">
        <f t="shared" si="2"/>
        <v/>
      </c>
      <c r="AA10" s="14" t="str">
        <f t="shared" si="2"/>
        <v/>
      </c>
      <c r="AB10" s="14" t="str">
        <f t="shared" si="2"/>
        <v/>
      </c>
      <c r="AC10" s="14" t="str">
        <f t="shared" si="2"/>
        <v/>
      </c>
      <c r="AD10" s="14" t="str">
        <f t="shared" si="2"/>
        <v/>
      </c>
      <c r="AE10" s="14" t="str">
        <f t="shared" si="2"/>
        <v/>
      </c>
    </row>
    <row r="11" spans="1:35" ht="14.4">
      <c r="A11" s="10">
        <v>6</v>
      </c>
      <c r="B11" s="11" t="s">
        <v>40</v>
      </c>
      <c r="C11" s="11" t="s">
        <v>44</v>
      </c>
      <c r="D11" s="11" t="s">
        <v>45</v>
      </c>
      <c r="E11" s="11" t="s">
        <v>43</v>
      </c>
      <c r="F11" s="12">
        <v>46300</v>
      </c>
      <c r="G11" s="12">
        <v>46311</v>
      </c>
      <c r="H11" s="11">
        <f t="shared" si="0"/>
        <v>10</v>
      </c>
      <c r="I11" s="11" t="s">
        <v>29</v>
      </c>
      <c r="J11" s="13">
        <v>4200</v>
      </c>
      <c r="K11" s="14" t="str">
        <f t="shared" si="1"/>
        <v/>
      </c>
      <c r="L11" s="14" t="str">
        <f t="shared" si="1"/>
        <v/>
      </c>
      <c r="M11" s="14" t="str">
        <f t="shared" si="1"/>
        <v/>
      </c>
      <c r="N11" s="14" t="str">
        <f t="shared" si="1"/>
        <v/>
      </c>
      <c r="O11" s="14" t="str">
        <f t="shared" si="1"/>
        <v>■</v>
      </c>
      <c r="P11" s="14" t="str">
        <f t="shared" si="1"/>
        <v>■</v>
      </c>
      <c r="Q11" s="14" t="str">
        <f t="shared" si="1"/>
        <v/>
      </c>
      <c r="R11" s="14" t="str">
        <f t="shared" si="1"/>
        <v/>
      </c>
      <c r="S11" s="14" t="str">
        <f t="shared" si="1"/>
        <v/>
      </c>
      <c r="T11" s="14" t="str">
        <f t="shared" si="1"/>
        <v/>
      </c>
      <c r="U11" s="14" t="str">
        <f t="shared" si="2"/>
        <v/>
      </c>
      <c r="V11" s="14" t="str">
        <f t="shared" si="2"/>
        <v/>
      </c>
      <c r="W11" s="14" t="str">
        <f t="shared" si="2"/>
        <v/>
      </c>
      <c r="X11" s="14" t="str">
        <f t="shared" si="2"/>
        <v/>
      </c>
      <c r="Y11" s="14" t="str">
        <f t="shared" si="2"/>
        <v/>
      </c>
      <c r="Z11" s="14" t="str">
        <f t="shared" si="2"/>
        <v/>
      </c>
      <c r="AA11" s="14" t="str">
        <f t="shared" si="2"/>
        <v/>
      </c>
      <c r="AB11" s="14" t="str">
        <f t="shared" si="2"/>
        <v/>
      </c>
      <c r="AC11" s="14" t="str">
        <f t="shared" si="2"/>
        <v/>
      </c>
      <c r="AD11" s="14" t="str">
        <f t="shared" si="2"/>
        <v/>
      </c>
      <c r="AE11" s="14" t="str">
        <f t="shared" si="2"/>
        <v/>
      </c>
    </row>
    <row r="12" spans="1:35" ht="14.4">
      <c r="A12" s="10">
        <v>7</v>
      </c>
      <c r="B12" s="11" t="s">
        <v>46</v>
      </c>
      <c r="C12" s="11" t="s">
        <v>47</v>
      </c>
      <c r="D12" s="11" t="s">
        <v>48</v>
      </c>
      <c r="E12" s="11" t="s">
        <v>49</v>
      </c>
      <c r="F12" s="12">
        <v>46314</v>
      </c>
      <c r="G12" s="12">
        <v>46332</v>
      </c>
      <c r="H12" s="11">
        <f t="shared" si="0"/>
        <v>15</v>
      </c>
      <c r="I12" s="11" t="s">
        <v>29</v>
      </c>
      <c r="J12" s="13">
        <v>7000</v>
      </c>
      <c r="K12" s="14" t="str">
        <f t="shared" si="1"/>
        <v/>
      </c>
      <c r="L12" s="14" t="str">
        <f t="shared" si="1"/>
        <v/>
      </c>
      <c r="M12" s="14" t="str">
        <f t="shared" si="1"/>
        <v/>
      </c>
      <c r="N12" s="14" t="str">
        <f t="shared" si="1"/>
        <v/>
      </c>
      <c r="O12" s="14" t="str">
        <f t="shared" si="1"/>
        <v/>
      </c>
      <c r="P12" s="14" t="str">
        <f t="shared" si="1"/>
        <v/>
      </c>
      <c r="Q12" s="14" t="str">
        <f t="shared" si="1"/>
        <v>■</v>
      </c>
      <c r="R12" s="14" t="str">
        <f t="shared" si="1"/>
        <v>■</v>
      </c>
      <c r="S12" s="14" t="str">
        <f t="shared" si="1"/>
        <v>■</v>
      </c>
      <c r="T12" s="14" t="str">
        <f t="shared" si="1"/>
        <v/>
      </c>
      <c r="U12" s="14" t="str">
        <f t="shared" si="2"/>
        <v/>
      </c>
      <c r="V12" s="14" t="str">
        <f t="shared" si="2"/>
        <v/>
      </c>
      <c r="W12" s="14" t="str">
        <f t="shared" si="2"/>
        <v/>
      </c>
      <c r="X12" s="14" t="str">
        <f t="shared" si="2"/>
        <v/>
      </c>
      <c r="Y12" s="14" t="str">
        <f t="shared" si="2"/>
        <v/>
      </c>
      <c r="Z12" s="14" t="str">
        <f t="shared" si="2"/>
        <v/>
      </c>
      <c r="AA12" s="14" t="str">
        <f t="shared" si="2"/>
        <v/>
      </c>
      <c r="AB12" s="14" t="str">
        <f t="shared" si="2"/>
        <v/>
      </c>
      <c r="AC12" s="14" t="str">
        <f t="shared" si="2"/>
        <v/>
      </c>
      <c r="AD12" s="14" t="str">
        <f t="shared" si="2"/>
        <v/>
      </c>
      <c r="AE12" s="14" t="str">
        <f t="shared" si="2"/>
        <v/>
      </c>
    </row>
    <row r="13" spans="1:35" ht="14.4">
      <c r="A13" s="10">
        <v>8</v>
      </c>
      <c r="B13" s="11" t="s">
        <v>46</v>
      </c>
      <c r="C13" s="11" t="s">
        <v>50</v>
      </c>
      <c r="D13" s="11" t="s">
        <v>48</v>
      </c>
      <c r="E13" s="11" t="s">
        <v>49</v>
      </c>
      <c r="F13" s="12">
        <v>46314</v>
      </c>
      <c r="G13" s="12">
        <v>46339</v>
      </c>
      <c r="H13" s="11">
        <f t="shared" si="0"/>
        <v>20</v>
      </c>
      <c r="I13" s="11" t="s">
        <v>29</v>
      </c>
      <c r="J13" s="13">
        <v>10500</v>
      </c>
      <c r="K13" s="14" t="str">
        <f t="shared" si="1"/>
        <v/>
      </c>
      <c r="L13" s="14" t="str">
        <f t="shared" si="1"/>
        <v/>
      </c>
      <c r="M13" s="14" t="str">
        <f t="shared" si="1"/>
        <v/>
      </c>
      <c r="N13" s="14" t="str">
        <f t="shared" si="1"/>
        <v/>
      </c>
      <c r="O13" s="14" t="str">
        <f t="shared" si="1"/>
        <v/>
      </c>
      <c r="P13" s="14" t="str">
        <f t="shared" si="1"/>
        <v/>
      </c>
      <c r="Q13" s="14" t="str">
        <f t="shared" si="1"/>
        <v>■</v>
      </c>
      <c r="R13" s="14" t="str">
        <f t="shared" si="1"/>
        <v>■</v>
      </c>
      <c r="S13" s="14" t="str">
        <f t="shared" si="1"/>
        <v>■</v>
      </c>
      <c r="T13" s="14" t="str">
        <f t="shared" si="1"/>
        <v>■</v>
      </c>
      <c r="U13" s="14" t="str">
        <f t="shared" si="2"/>
        <v/>
      </c>
      <c r="V13" s="14" t="str">
        <f t="shared" si="2"/>
        <v/>
      </c>
      <c r="W13" s="14" t="str">
        <f t="shared" si="2"/>
        <v/>
      </c>
      <c r="X13" s="14" t="str">
        <f t="shared" si="2"/>
        <v/>
      </c>
      <c r="Y13" s="14" t="str">
        <f t="shared" si="2"/>
        <v/>
      </c>
      <c r="Z13" s="14" t="str">
        <f t="shared" si="2"/>
        <v/>
      </c>
      <c r="AA13" s="14" t="str">
        <f t="shared" si="2"/>
        <v/>
      </c>
      <c r="AB13" s="14" t="str">
        <f t="shared" si="2"/>
        <v/>
      </c>
      <c r="AC13" s="14" t="str">
        <f t="shared" si="2"/>
        <v/>
      </c>
      <c r="AD13" s="14" t="str">
        <f t="shared" si="2"/>
        <v/>
      </c>
      <c r="AE13" s="14" t="str">
        <f t="shared" si="2"/>
        <v/>
      </c>
    </row>
    <row r="14" spans="1:35" ht="14.4">
      <c r="A14" s="10">
        <v>9</v>
      </c>
      <c r="B14" s="11" t="s">
        <v>46</v>
      </c>
      <c r="C14" s="11" t="s">
        <v>51</v>
      </c>
      <c r="D14" s="11" t="s">
        <v>45</v>
      </c>
      <c r="E14" s="11" t="s">
        <v>52</v>
      </c>
      <c r="F14" s="12">
        <v>46335</v>
      </c>
      <c r="G14" s="12">
        <v>46346</v>
      </c>
      <c r="H14" s="11">
        <f t="shared" si="0"/>
        <v>10</v>
      </c>
      <c r="I14" s="11" t="s">
        <v>29</v>
      </c>
      <c r="J14" s="13">
        <v>3500</v>
      </c>
      <c r="K14" s="14" t="str">
        <f t="shared" si="1"/>
        <v/>
      </c>
      <c r="L14" s="14" t="str">
        <f t="shared" si="1"/>
        <v/>
      </c>
      <c r="M14" s="14" t="str">
        <f t="shared" si="1"/>
        <v/>
      </c>
      <c r="N14" s="14" t="str">
        <f t="shared" si="1"/>
        <v/>
      </c>
      <c r="O14" s="14" t="str">
        <f t="shared" si="1"/>
        <v/>
      </c>
      <c r="P14" s="14" t="str">
        <f t="shared" si="1"/>
        <v/>
      </c>
      <c r="Q14" s="14" t="str">
        <f t="shared" si="1"/>
        <v/>
      </c>
      <c r="R14" s="14" t="str">
        <f t="shared" si="1"/>
        <v/>
      </c>
      <c r="S14" s="14" t="str">
        <f t="shared" si="1"/>
        <v/>
      </c>
      <c r="T14" s="14" t="str">
        <f t="shared" si="1"/>
        <v>■</v>
      </c>
      <c r="U14" s="14" t="str">
        <f t="shared" si="2"/>
        <v>■</v>
      </c>
      <c r="V14" s="14" t="str">
        <f t="shared" si="2"/>
        <v/>
      </c>
      <c r="W14" s="14" t="str">
        <f t="shared" si="2"/>
        <v/>
      </c>
      <c r="X14" s="14" t="str">
        <f t="shared" si="2"/>
        <v/>
      </c>
      <c r="Y14" s="14" t="str">
        <f t="shared" si="2"/>
        <v/>
      </c>
      <c r="Z14" s="14" t="str">
        <f t="shared" si="2"/>
        <v/>
      </c>
      <c r="AA14" s="14" t="str">
        <f t="shared" si="2"/>
        <v/>
      </c>
      <c r="AB14" s="14" t="str">
        <f t="shared" si="2"/>
        <v/>
      </c>
      <c r="AC14" s="14" t="str">
        <f t="shared" si="2"/>
        <v/>
      </c>
      <c r="AD14" s="14" t="str">
        <f t="shared" si="2"/>
        <v/>
      </c>
      <c r="AE14" s="14" t="str">
        <f t="shared" si="2"/>
        <v/>
      </c>
    </row>
    <row r="15" spans="1:35" ht="14.4">
      <c r="A15" s="10">
        <v>10</v>
      </c>
      <c r="B15" s="11" t="s">
        <v>46</v>
      </c>
      <c r="C15" s="11" t="s">
        <v>53</v>
      </c>
      <c r="D15" s="11" t="s">
        <v>48</v>
      </c>
      <c r="E15" s="11" t="s">
        <v>54</v>
      </c>
      <c r="F15" s="12">
        <v>46342</v>
      </c>
      <c r="G15" s="12">
        <v>46360</v>
      </c>
      <c r="H15" s="11">
        <f t="shared" si="0"/>
        <v>15</v>
      </c>
      <c r="I15" s="11" t="s">
        <v>29</v>
      </c>
      <c r="J15" s="13">
        <v>6500</v>
      </c>
      <c r="K15" s="14" t="str">
        <f t="shared" si="1"/>
        <v/>
      </c>
      <c r="L15" s="14" t="str">
        <f t="shared" si="1"/>
        <v/>
      </c>
      <c r="M15" s="14" t="str">
        <f t="shared" si="1"/>
        <v/>
      </c>
      <c r="N15" s="14" t="str">
        <f t="shared" si="1"/>
        <v/>
      </c>
      <c r="O15" s="14" t="str">
        <f t="shared" si="1"/>
        <v/>
      </c>
      <c r="P15" s="14" t="str">
        <f t="shared" si="1"/>
        <v/>
      </c>
      <c r="Q15" s="14" t="str">
        <f t="shared" si="1"/>
        <v/>
      </c>
      <c r="R15" s="14" t="str">
        <f t="shared" si="1"/>
        <v/>
      </c>
      <c r="S15" s="14" t="str">
        <f t="shared" si="1"/>
        <v/>
      </c>
      <c r="T15" s="14" t="str">
        <f t="shared" si="1"/>
        <v/>
      </c>
      <c r="U15" s="14" t="str">
        <f t="shared" si="2"/>
        <v>■</v>
      </c>
      <c r="V15" s="14" t="str">
        <f t="shared" si="2"/>
        <v>■</v>
      </c>
      <c r="W15" s="14" t="str">
        <f t="shared" si="2"/>
        <v>■</v>
      </c>
      <c r="X15" s="14" t="str">
        <f t="shared" si="2"/>
        <v/>
      </c>
      <c r="Y15" s="14" t="str">
        <f t="shared" si="2"/>
        <v/>
      </c>
      <c r="Z15" s="14" t="str">
        <f t="shared" si="2"/>
        <v/>
      </c>
      <c r="AA15" s="14" t="str">
        <f t="shared" si="2"/>
        <v/>
      </c>
      <c r="AB15" s="14" t="str">
        <f t="shared" si="2"/>
        <v/>
      </c>
      <c r="AC15" s="14" t="str">
        <f t="shared" si="2"/>
        <v/>
      </c>
      <c r="AD15" s="14" t="str">
        <f t="shared" si="2"/>
        <v/>
      </c>
      <c r="AE15" s="14" t="str">
        <f t="shared" si="2"/>
        <v/>
      </c>
    </row>
    <row r="16" spans="1:35" ht="14.4">
      <c r="A16" s="10">
        <v>11</v>
      </c>
      <c r="B16" s="11" t="s">
        <v>46</v>
      </c>
      <c r="C16" s="11" t="s">
        <v>55</v>
      </c>
      <c r="D16" s="11" t="s">
        <v>48</v>
      </c>
      <c r="E16" s="11" t="s">
        <v>56</v>
      </c>
      <c r="F16" s="12">
        <v>46356</v>
      </c>
      <c r="G16" s="12">
        <v>46374</v>
      </c>
      <c r="H16" s="11">
        <f t="shared" si="0"/>
        <v>15</v>
      </c>
      <c r="I16" s="11" t="s">
        <v>32</v>
      </c>
      <c r="J16" s="13">
        <v>7200</v>
      </c>
      <c r="K16" s="14" t="str">
        <f t="shared" ref="K16:T21" si="3">IF(AND(K$5&lt;=$G16,K$5+6&gt;=$F16),"■","")</f>
        <v/>
      </c>
      <c r="L16" s="14" t="str">
        <f t="shared" si="3"/>
        <v/>
      </c>
      <c r="M16" s="14" t="str">
        <f t="shared" si="3"/>
        <v/>
      </c>
      <c r="N16" s="14" t="str">
        <f t="shared" si="3"/>
        <v/>
      </c>
      <c r="O16" s="14" t="str">
        <f t="shared" si="3"/>
        <v/>
      </c>
      <c r="P16" s="14" t="str">
        <f t="shared" si="3"/>
        <v/>
      </c>
      <c r="Q16" s="14" t="str">
        <f t="shared" si="3"/>
        <v/>
      </c>
      <c r="R16" s="14" t="str">
        <f t="shared" si="3"/>
        <v/>
      </c>
      <c r="S16" s="14" t="str">
        <f t="shared" si="3"/>
        <v/>
      </c>
      <c r="T16" s="14" t="str">
        <f t="shared" si="3"/>
        <v/>
      </c>
      <c r="U16" s="14" t="str">
        <f t="shared" ref="U16:AE21" si="4">IF(AND(U$5&lt;=$G16,U$5+6&gt;=$F16),"■","")</f>
        <v/>
      </c>
      <c r="V16" s="14" t="str">
        <f t="shared" si="4"/>
        <v/>
      </c>
      <c r="W16" s="14" t="str">
        <f t="shared" si="4"/>
        <v>■</v>
      </c>
      <c r="X16" s="14" t="str">
        <f t="shared" si="4"/>
        <v>■</v>
      </c>
      <c r="Y16" s="14" t="str">
        <f t="shared" si="4"/>
        <v>■</v>
      </c>
      <c r="Z16" s="14" t="str">
        <f t="shared" si="4"/>
        <v/>
      </c>
      <c r="AA16" s="14" t="str">
        <f t="shared" si="4"/>
        <v/>
      </c>
      <c r="AB16" s="14" t="str">
        <f t="shared" si="4"/>
        <v/>
      </c>
      <c r="AC16" s="14" t="str">
        <f t="shared" si="4"/>
        <v/>
      </c>
      <c r="AD16" s="14" t="str">
        <f t="shared" si="4"/>
        <v/>
      </c>
      <c r="AE16" s="14" t="str">
        <f t="shared" si="4"/>
        <v/>
      </c>
    </row>
    <row r="17" spans="1:31" ht="14.4">
      <c r="A17" s="10">
        <v>12</v>
      </c>
      <c r="B17" s="11" t="s">
        <v>57</v>
      </c>
      <c r="C17" s="11" t="s">
        <v>58</v>
      </c>
      <c r="D17" s="11" t="s">
        <v>59</v>
      </c>
      <c r="E17" s="11" t="s">
        <v>60</v>
      </c>
      <c r="F17" s="12">
        <v>46377</v>
      </c>
      <c r="G17" s="12">
        <v>46395</v>
      </c>
      <c r="H17" s="11">
        <f t="shared" si="0"/>
        <v>15</v>
      </c>
      <c r="I17" s="11" t="s">
        <v>29</v>
      </c>
      <c r="J17" s="13">
        <v>4000</v>
      </c>
      <c r="K17" s="14" t="str">
        <f t="shared" si="3"/>
        <v/>
      </c>
      <c r="L17" s="14" t="str">
        <f t="shared" si="3"/>
        <v/>
      </c>
      <c r="M17" s="14" t="str">
        <f t="shared" si="3"/>
        <v/>
      </c>
      <c r="N17" s="14" t="str">
        <f t="shared" si="3"/>
        <v/>
      </c>
      <c r="O17" s="14" t="str">
        <f t="shared" si="3"/>
        <v/>
      </c>
      <c r="P17" s="14" t="str">
        <f t="shared" si="3"/>
        <v/>
      </c>
      <c r="Q17" s="14" t="str">
        <f t="shared" si="3"/>
        <v/>
      </c>
      <c r="R17" s="14" t="str">
        <f t="shared" si="3"/>
        <v/>
      </c>
      <c r="S17" s="14" t="str">
        <f t="shared" si="3"/>
        <v/>
      </c>
      <c r="T17" s="14" t="str">
        <f t="shared" si="3"/>
        <v/>
      </c>
      <c r="U17" s="14" t="str">
        <f t="shared" si="4"/>
        <v/>
      </c>
      <c r="V17" s="14" t="str">
        <f t="shared" si="4"/>
        <v/>
      </c>
      <c r="W17" s="14" t="str">
        <f t="shared" si="4"/>
        <v/>
      </c>
      <c r="X17" s="14" t="str">
        <f t="shared" si="4"/>
        <v/>
      </c>
      <c r="Y17" s="14" t="str">
        <f t="shared" si="4"/>
        <v/>
      </c>
      <c r="Z17" s="14" t="str">
        <f t="shared" si="4"/>
        <v>■</v>
      </c>
      <c r="AA17" s="14" t="str">
        <f t="shared" si="4"/>
        <v>■</v>
      </c>
      <c r="AB17" s="14" t="str">
        <f t="shared" si="4"/>
        <v>■</v>
      </c>
      <c r="AC17" s="14" t="str">
        <f t="shared" si="4"/>
        <v/>
      </c>
      <c r="AD17" s="14" t="str">
        <f t="shared" si="4"/>
        <v/>
      </c>
      <c r="AE17" s="14" t="str">
        <f t="shared" si="4"/>
        <v/>
      </c>
    </row>
    <row r="18" spans="1:31" ht="14.4">
      <c r="A18" s="10">
        <v>13</v>
      </c>
      <c r="B18" s="11" t="s">
        <v>57</v>
      </c>
      <c r="C18" s="11" t="s">
        <v>61</v>
      </c>
      <c r="D18" s="11" t="s">
        <v>62</v>
      </c>
      <c r="E18" s="11" t="s">
        <v>63</v>
      </c>
      <c r="F18" s="12">
        <v>46398</v>
      </c>
      <c r="G18" s="12">
        <v>46402</v>
      </c>
      <c r="H18" s="11">
        <f t="shared" si="0"/>
        <v>5</v>
      </c>
      <c r="I18" s="11" t="s">
        <v>32</v>
      </c>
      <c r="J18" s="13">
        <v>2100</v>
      </c>
      <c r="K18" s="14" t="str">
        <f t="shared" si="3"/>
        <v/>
      </c>
      <c r="L18" s="14" t="str">
        <f t="shared" si="3"/>
        <v/>
      </c>
      <c r="M18" s="14" t="str">
        <f t="shared" si="3"/>
        <v/>
      </c>
      <c r="N18" s="14" t="str">
        <f t="shared" si="3"/>
        <v/>
      </c>
      <c r="O18" s="14" t="str">
        <f t="shared" si="3"/>
        <v/>
      </c>
      <c r="P18" s="14" t="str">
        <f t="shared" si="3"/>
        <v/>
      </c>
      <c r="Q18" s="14" t="str">
        <f t="shared" si="3"/>
        <v/>
      </c>
      <c r="R18" s="14" t="str">
        <f t="shared" si="3"/>
        <v/>
      </c>
      <c r="S18" s="14" t="str">
        <f t="shared" si="3"/>
        <v/>
      </c>
      <c r="T18" s="14" t="str">
        <f t="shared" si="3"/>
        <v/>
      </c>
      <c r="U18" s="14" t="str">
        <f t="shared" si="4"/>
        <v/>
      </c>
      <c r="V18" s="14" t="str">
        <f t="shared" si="4"/>
        <v/>
      </c>
      <c r="W18" s="14" t="str">
        <f t="shared" si="4"/>
        <v/>
      </c>
      <c r="X18" s="14" t="str">
        <f t="shared" si="4"/>
        <v/>
      </c>
      <c r="Y18" s="14" t="str">
        <f t="shared" si="4"/>
        <v/>
      </c>
      <c r="Z18" s="14" t="str">
        <f t="shared" si="4"/>
        <v/>
      </c>
      <c r="AA18" s="14" t="str">
        <f t="shared" si="4"/>
        <v/>
      </c>
      <c r="AB18" s="14" t="str">
        <f t="shared" si="4"/>
        <v/>
      </c>
      <c r="AC18" s="14" t="str">
        <f t="shared" si="4"/>
        <v>■</v>
      </c>
      <c r="AD18" s="14" t="str">
        <f t="shared" si="4"/>
        <v/>
      </c>
      <c r="AE18" s="14" t="str">
        <f t="shared" si="4"/>
        <v/>
      </c>
    </row>
    <row r="19" spans="1:31" ht="14.4">
      <c r="A19" s="10">
        <v>14</v>
      </c>
      <c r="B19" s="11" t="s">
        <v>57</v>
      </c>
      <c r="C19" s="11" t="s">
        <v>64</v>
      </c>
      <c r="D19" s="11" t="s">
        <v>65</v>
      </c>
      <c r="E19" s="11" t="s">
        <v>66</v>
      </c>
      <c r="F19" s="12">
        <v>46405</v>
      </c>
      <c r="G19" s="12">
        <v>46409</v>
      </c>
      <c r="H19" s="11">
        <f t="shared" si="0"/>
        <v>5</v>
      </c>
      <c r="I19" s="11" t="s">
        <v>29</v>
      </c>
      <c r="J19" s="13">
        <v>3200</v>
      </c>
      <c r="K19" s="14" t="str">
        <f t="shared" si="3"/>
        <v/>
      </c>
      <c r="L19" s="14" t="str">
        <f t="shared" si="3"/>
        <v/>
      </c>
      <c r="M19" s="14" t="str">
        <f t="shared" si="3"/>
        <v/>
      </c>
      <c r="N19" s="14" t="str">
        <f t="shared" si="3"/>
        <v/>
      </c>
      <c r="O19" s="14" t="str">
        <f t="shared" si="3"/>
        <v/>
      </c>
      <c r="P19" s="14" t="str">
        <f t="shared" si="3"/>
        <v/>
      </c>
      <c r="Q19" s="14" t="str">
        <f t="shared" si="3"/>
        <v/>
      </c>
      <c r="R19" s="14" t="str">
        <f t="shared" si="3"/>
        <v/>
      </c>
      <c r="S19" s="14" t="str">
        <f t="shared" si="3"/>
        <v/>
      </c>
      <c r="T19" s="14" t="str">
        <f t="shared" si="3"/>
        <v/>
      </c>
      <c r="U19" s="14" t="str">
        <f t="shared" si="4"/>
        <v/>
      </c>
      <c r="V19" s="14" t="str">
        <f t="shared" si="4"/>
        <v/>
      </c>
      <c r="W19" s="14" t="str">
        <f t="shared" si="4"/>
        <v/>
      </c>
      <c r="X19" s="14" t="str">
        <f t="shared" si="4"/>
        <v/>
      </c>
      <c r="Y19" s="14" t="str">
        <f t="shared" si="4"/>
        <v/>
      </c>
      <c r="Z19" s="14" t="str">
        <f t="shared" si="4"/>
        <v/>
      </c>
      <c r="AA19" s="14" t="str">
        <f t="shared" si="4"/>
        <v/>
      </c>
      <c r="AB19" s="14" t="str">
        <f t="shared" si="4"/>
        <v/>
      </c>
      <c r="AC19" s="14" t="str">
        <f t="shared" si="4"/>
        <v/>
      </c>
      <c r="AD19" s="14" t="str">
        <f t="shared" si="4"/>
        <v>■</v>
      </c>
      <c r="AE19" s="14" t="str">
        <f t="shared" si="4"/>
        <v/>
      </c>
    </row>
    <row r="20" spans="1:31" ht="14.4">
      <c r="A20" s="10">
        <v>15</v>
      </c>
      <c r="B20" s="11" t="s">
        <v>67</v>
      </c>
      <c r="C20" s="11" t="s">
        <v>68</v>
      </c>
      <c r="D20" s="11" t="s">
        <v>69</v>
      </c>
      <c r="E20" s="11" t="s">
        <v>70</v>
      </c>
      <c r="F20" s="12">
        <v>46412</v>
      </c>
      <c r="G20" s="12">
        <v>46414</v>
      </c>
      <c r="H20" s="11">
        <f t="shared" si="0"/>
        <v>3</v>
      </c>
      <c r="I20" s="11" t="s">
        <v>32</v>
      </c>
      <c r="J20" s="13">
        <v>2600</v>
      </c>
      <c r="K20" s="14" t="str">
        <f t="shared" si="3"/>
        <v/>
      </c>
      <c r="L20" s="14" t="str">
        <f t="shared" si="3"/>
        <v/>
      </c>
      <c r="M20" s="14" t="str">
        <f t="shared" si="3"/>
        <v/>
      </c>
      <c r="N20" s="14" t="str">
        <f t="shared" si="3"/>
        <v/>
      </c>
      <c r="O20" s="14" t="str">
        <f t="shared" si="3"/>
        <v/>
      </c>
      <c r="P20" s="14" t="str">
        <f t="shared" si="3"/>
        <v/>
      </c>
      <c r="Q20" s="14" t="str">
        <f t="shared" si="3"/>
        <v/>
      </c>
      <c r="R20" s="14" t="str">
        <f t="shared" si="3"/>
        <v/>
      </c>
      <c r="S20" s="14" t="str">
        <f t="shared" si="3"/>
        <v/>
      </c>
      <c r="T20" s="14" t="str">
        <f t="shared" si="3"/>
        <v/>
      </c>
      <c r="U20" s="14" t="str">
        <f t="shared" si="4"/>
        <v/>
      </c>
      <c r="V20" s="14" t="str">
        <f t="shared" si="4"/>
        <v/>
      </c>
      <c r="W20" s="14" t="str">
        <f t="shared" si="4"/>
        <v/>
      </c>
      <c r="X20" s="14" t="str">
        <f t="shared" si="4"/>
        <v/>
      </c>
      <c r="Y20" s="14" t="str">
        <f t="shared" si="4"/>
        <v/>
      </c>
      <c r="Z20" s="14" t="str">
        <f t="shared" si="4"/>
        <v/>
      </c>
      <c r="AA20" s="14" t="str">
        <f t="shared" si="4"/>
        <v/>
      </c>
      <c r="AB20" s="14" t="str">
        <f t="shared" si="4"/>
        <v/>
      </c>
      <c r="AC20" s="14" t="str">
        <f t="shared" si="4"/>
        <v/>
      </c>
      <c r="AD20" s="14" t="str">
        <f t="shared" si="4"/>
        <v/>
      </c>
      <c r="AE20" s="14" t="str">
        <f t="shared" si="4"/>
        <v>■</v>
      </c>
    </row>
    <row r="21" spans="1:31" ht="14.4">
      <c r="A21" s="15">
        <v>16</v>
      </c>
      <c r="B21" s="16" t="s">
        <v>71</v>
      </c>
      <c r="C21" s="16" t="s">
        <v>72</v>
      </c>
      <c r="D21" s="16" t="s">
        <v>27</v>
      </c>
      <c r="E21" s="16" t="s">
        <v>73</v>
      </c>
      <c r="F21" s="17">
        <v>46415</v>
      </c>
      <c r="G21" s="17">
        <v>46416</v>
      </c>
      <c r="H21" s="16">
        <f t="shared" si="0"/>
        <v>2</v>
      </c>
      <c r="I21" s="16" t="s">
        <v>32</v>
      </c>
      <c r="J21" s="18">
        <v>1200</v>
      </c>
      <c r="K21" s="14" t="str">
        <f t="shared" si="3"/>
        <v/>
      </c>
      <c r="L21" s="14" t="str">
        <f t="shared" si="3"/>
        <v/>
      </c>
      <c r="M21" s="14" t="str">
        <f t="shared" si="3"/>
        <v/>
      </c>
      <c r="N21" s="14" t="str">
        <f t="shared" si="3"/>
        <v/>
      </c>
      <c r="O21" s="14" t="str">
        <f t="shared" si="3"/>
        <v/>
      </c>
      <c r="P21" s="14" t="str">
        <f t="shared" si="3"/>
        <v/>
      </c>
      <c r="Q21" s="14" t="str">
        <f t="shared" si="3"/>
        <v/>
      </c>
      <c r="R21" s="14" t="str">
        <f t="shared" si="3"/>
        <v/>
      </c>
      <c r="S21" s="14" t="str">
        <f t="shared" si="3"/>
        <v/>
      </c>
      <c r="T21" s="14" t="str">
        <f t="shared" si="3"/>
        <v/>
      </c>
      <c r="U21" s="14" t="str">
        <f t="shared" si="4"/>
        <v/>
      </c>
      <c r="V21" s="14" t="str">
        <f t="shared" si="4"/>
        <v/>
      </c>
      <c r="W21" s="14" t="str">
        <f t="shared" si="4"/>
        <v/>
      </c>
      <c r="X21" s="14" t="str">
        <f t="shared" si="4"/>
        <v/>
      </c>
      <c r="Y21" s="14" t="str">
        <f t="shared" si="4"/>
        <v/>
      </c>
      <c r="Z21" s="14" t="str">
        <f t="shared" si="4"/>
        <v/>
      </c>
      <c r="AA21" s="14" t="str">
        <f t="shared" si="4"/>
        <v/>
      </c>
      <c r="AB21" s="14" t="str">
        <f t="shared" si="4"/>
        <v/>
      </c>
      <c r="AC21" s="14" t="str">
        <f t="shared" si="4"/>
        <v/>
      </c>
      <c r="AD21" s="14" t="str">
        <f t="shared" si="4"/>
        <v/>
      </c>
      <c r="AE21" s="14" t="str">
        <f t="shared" si="4"/>
        <v>■</v>
      </c>
    </row>
    <row r="22" spans="1:3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4">
      <c r="A23" s="1"/>
      <c r="B23" s="1"/>
      <c r="C23" s="1"/>
      <c r="D23" s="1"/>
      <c r="E23" s="1"/>
      <c r="F23" s="1"/>
      <c r="G23" s="1"/>
      <c r="H23" s="19"/>
      <c r="I23" s="49" t="s">
        <v>98</v>
      </c>
      <c r="J23" s="20">
        <f>Costi!B16</f>
        <v>67980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</sheetData>
  <mergeCells count="1">
    <mergeCell ref="A1:AI1"/>
  </mergeCells>
  <conditionalFormatting sqref="A6:J21">
    <cfRule type="expression" dxfId="1" priority="2">
      <formula>$I6="Sì"</formula>
    </cfRule>
  </conditionalFormatting>
  <conditionalFormatting sqref="K6:AE21">
    <cfRule type="expression" dxfId="0" priority="1">
      <formula>K6="■"</formula>
    </cfRule>
  </conditionalFormatting>
  <dataValidations count="1">
    <dataValidation type="list" sqref="I6:I21" xr:uid="{00000000-0002-0000-0100-000000000000}">
      <formula1>"Sì,No"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zoomScale="104" workbookViewId="0">
      <selection activeCell="D17" sqref="D17"/>
    </sheetView>
  </sheetViews>
  <sheetFormatPr defaultRowHeight="13.8"/>
  <cols>
    <col min="1" max="1" width="30" customWidth="1"/>
    <col min="2" max="2" width="16" customWidth="1"/>
    <col min="3" max="3" width="14" customWidth="1"/>
    <col min="4" max="4" width="28" customWidth="1"/>
  </cols>
  <sheetData>
    <row r="1" spans="1:16" ht="20.85" customHeight="1">
      <c r="A1" s="50" t="s">
        <v>74</v>
      </c>
      <c r="B1" s="50"/>
      <c r="C1" s="50"/>
      <c r="D1" s="50"/>
      <c r="E1" s="50"/>
      <c r="F1" s="50"/>
      <c r="G1" s="50"/>
      <c r="H1" s="50"/>
      <c r="I1" s="39"/>
      <c r="J1" s="39"/>
      <c r="K1" s="39"/>
      <c r="L1" s="39"/>
      <c r="M1" s="39"/>
      <c r="N1" s="39"/>
      <c r="O1" s="39"/>
      <c r="P1" s="39"/>
    </row>
    <row r="2" spans="1:1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4.4">
      <c r="A4" s="21" t="s">
        <v>75</v>
      </c>
      <c r="B4" s="22" t="s">
        <v>24</v>
      </c>
      <c r="C4" s="22" t="s">
        <v>76</v>
      </c>
      <c r="D4" s="23" t="s">
        <v>77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4.4">
      <c r="A5" s="24" t="s">
        <v>78</v>
      </c>
      <c r="B5" s="25">
        <v>9000</v>
      </c>
      <c r="C5" s="26" t="s">
        <v>79</v>
      </c>
      <c r="D5" s="27" t="s">
        <v>27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 ht="14.4">
      <c r="A6" s="24" t="s">
        <v>80</v>
      </c>
      <c r="B6" s="25">
        <v>5000</v>
      </c>
      <c r="C6" s="26" t="s">
        <v>79</v>
      </c>
      <c r="D6" s="27" t="s">
        <v>81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6" ht="14.4">
      <c r="A7" s="24" t="s">
        <v>41</v>
      </c>
      <c r="B7" s="25">
        <v>4900</v>
      </c>
      <c r="C7" s="26" t="s">
        <v>79</v>
      </c>
      <c r="D7" s="27" t="s">
        <v>82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6" ht="14.4">
      <c r="A8" s="24" t="s">
        <v>83</v>
      </c>
      <c r="B8" s="25">
        <v>14000</v>
      </c>
      <c r="C8" s="26" t="s">
        <v>79</v>
      </c>
      <c r="D8" s="27" t="s">
        <v>84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6" ht="14.4">
      <c r="A9" s="24" t="s">
        <v>85</v>
      </c>
      <c r="B9" s="25">
        <v>17400</v>
      </c>
      <c r="C9" s="26" t="s">
        <v>79</v>
      </c>
      <c r="D9" s="27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6" ht="14.4">
      <c r="A10" s="24" t="s">
        <v>87</v>
      </c>
      <c r="B10" s="25">
        <v>6100</v>
      </c>
      <c r="C10" s="26" t="s">
        <v>79</v>
      </c>
      <c r="D10" s="27" t="s">
        <v>88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6" ht="14.4">
      <c r="A11" s="24" t="s">
        <v>89</v>
      </c>
      <c r="B11" s="25">
        <v>3200</v>
      </c>
      <c r="C11" s="26" t="s">
        <v>90</v>
      </c>
      <c r="D11" s="27" t="s">
        <v>91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6" ht="14.4">
      <c r="A12" s="28" t="s">
        <v>92</v>
      </c>
      <c r="B12" s="29">
        <v>2200</v>
      </c>
      <c r="C12" s="30" t="s">
        <v>90</v>
      </c>
      <c r="D12" s="31" t="s">
        <v>93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6" ht="14.4">
      <c r="A14" s="32" t="s">
        <v>94</v>
      </c>
      <c r="B14" s="33">
        <f>SUM(B5:B12)</f>
        <v>61800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6" ht="14.4">
      <c r="A15" s="34" t="s">
        <v>95</v>
      </c>
      <c r="B15" s="35">
        <f>B14*10%</f>
        <v>6180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ht="14.4">
      <c r="A16" s="34" t="s">
        <v>96</v>
      </c>
      <c r="B16" s="35">
        <f>B14+B15</f>
        <v>67980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4">
      <c r="A17" s="34" t="s">
        <v>11</v>
      </c>
      <c r="B17" s="35">
        <v>75000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4">
      <c r="A18" s="36" t="s">
        <v>97</v>
      </c>
      <c r="B18" s="37">
        <f>B17-B16</f>
        <v>7020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2">
    <mergeCell ref="A1:H1"/>
    <mergeCell ref="I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Riepilogo</vt:lpstr>
      <vt:lpstr>Pianificazione</vt:lpstr>
      <vt:lpstr>Costi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Sajmir Buzi - sajmir.buzi@studio.unibo.it</cp:lastModifiedBy>
  <dcterms:modified xsi:type="dcterms:W3CDTF">2026-06-07T10:43:30Z</dcterms:modified>
</cp:coreProperties>
</file>